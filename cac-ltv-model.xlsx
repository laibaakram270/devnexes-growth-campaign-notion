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<sst xmlns="http://schemas.openxmlformats.org/spreadsheetml/2006/main" count="14" uniqueCount="14">
  <si>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Metric</t>
  </si>
  <si>
    <t>Value</t>
  </si>
  <si>
    <t>Formula</t>
  </si>
  <si>
    <t>Total Ad Spend</t>
  </si>
  <si>
    <t>Total Clicks</t>
  </si>
  <si>
    <t>Landing Page CVR</t>
  </si>
  <si>
    <t>Trial Signups</t>
  </si>
  <si>
    <t>Trial to Paid CVR</t>
  </si>
  <si>
    <t>New Customers</t>
  </si>
  <si>
    <t>CAC</t>
  </si>
  <si>
    <t>Avg Revenue/Customer/mo</t>
  </si>
  <si>
    <t>Avg Lifespan Months</t>
  </si>
  <si>
    <t>LTV</t>
  </si>
  <si>
    <t>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</si>
</sst>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</cols>
  <sheetData>
    <row r="2">
      <c r="B2" s="1" t="s">
        <v>0</v>
      </c>
      <c r="C2" s="1" t="s">
        <v>1</v>
      </c>
      <c r="D2" s="1" t="s">
        <v>2</v>
      </c>
    </row>
    <row r="3">
      <c r="B3" s="1" t="s">
        <v>3</v>
      </c>
      <c r="C3" s="1">
        <v>500.0</v>
      </c>
    </row>
    <row r="4">
      <c r="B4" s="1" t="s">
        <v>4</v>
      </c>
      <c r="C4" s="1">
        <v>500.0</v>
      </c>
    </row>
    <row r="5">
      <c r="B5" s="1" t="s">
        <v>5</v>
      </c>
      <c r="C5" s="2">
        <v>0.2</v>
      </c>
    </row>
    <row r="6">
      <c r="B6" s="1" t="s">
        <v>6</v>
      </c>
      <c r="C6" s="1">
        <v>100.0</v>
      </c>
      <c r="D6" s="3">
        <f>C5*C4</f>
        <v>100</v>
      </c>
    </row>
    <row r="7">
      <c r="B7" s="1" t="s">
        <v>7</v>
      </c>
      <c r="C7" s="2">
        <v>0.15</v>
      </c>
    </row>
    <row r="8">
      <c r="B8" s="1" t="s">
        <v>8</v>
      </c>
      <c r="C8" s="1">
        <v>15.0</v>
      </c>
      <c r="D8" s="3">
        <f>C6*C7</f>
        <v>15</v>
      </c>
    </row>
    <row r="9">
      <c r="B9" s="1" t="s">
        <v>9</v>
      </c>
      <c r="C9" s="1">
        <v>33.33</v>
      </c>
      <c r="D9" s="3">
        <f>C3/C8</f>
        <v>33.33333333</v>
      </c>
    </row>
    <row r="10">
      <c r="B10" s="1" t="s">
        <v>10</v>
      </c>
      <c r="C10" s="1">
        <v>15.0</v>
      </c>
    </row>
    <row r="11">
      <c r="B11" s="1" t="s">
        <v>11</v>
      </c>
      <c r="C11" s="1">
        <v>12.0</v>
      </c>
    </row>
    <row r="12">
      <c r="B12" s="1" t="s">
        <v>12</v>
      </c>
      <c r="C12" s="1">
        <v>180.0</v>
      </c>
      <c r="D12" s="3">
        <f>C10*C11</f>
        <v>180</v>
      </c>
    </row>
    <row r="13">
      <c r="B13" s="1" t="s">
        <v>13</v>
      </c>
      <c r="C13" s="1">
        <v>4.4</v>
      </c>
      <c r="D13" s="3">
        <f>(C12-C9)/C9</f>
        <v>4.400540054</v>
      </c>
    </row>
  </sheetData>
  <drawing r:id="rId1"/>
</worksheet>
</file>